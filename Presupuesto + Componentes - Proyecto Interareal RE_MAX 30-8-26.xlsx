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<sst xmlns="http://schemas.openxmlformats.org/spreadsheetml/2006/main" count="64" uniqueCount="63">
  <si>
    <t>Inmobiliaria REMAX</t>
  </si>
  <si>
    <t>COMPONENTES</t>
  </si>
  <si>
    <t>PRECIO</t>
  </si>
  <si>
    <t>Departamento</t>
  </si>
  <si>
    <t>PCs</t>
  </si>
  <si>
    <t>Teléfonos IP</t>
  </si>
  <si>
    <t>Impresoras red</t>
  </si>
  <si>
    <t>Plotters</t>
  </si>
  <si>
    <t>Impresoras 3D</t>
  </si>
  <si>
    <t>Cámaras IP</t>
  </si>
  <si>
    <t>Procesador AMD Ryzen 3 3200G 4.0GHz Turbo + Radeon Vega 8 AM4 + Wraith Stealth Cooler</t>
  </si>
  <si>
    <t>1. Dirección Comercial</t>
  </si>
  <si>
    <t>Mother Asrock B450M-HDV 4.0 AM4 HDMI M.2</t>
  </si>
  <si>
    <t>2. Tasaciones y Captación</t>
  </si>
  <si>
    <t>Memoria Mancer DDR4 8GB 3200MHz Vant S Black CL19</t>
  </si>
  <si>
    <t>3. Ventas Residenciales</t>
  </si>
  <si>
    <t>Disco Solido SSD Mancer 480GB Reaper S 530MB/s BULK</t>
  </si>
  <si>
    <t>4. Alquileres y Administración</t>
  </si>
  <si>
    <t>Fuente Antec 750W 80 Plus Bronze ATX 3.1 PCIe 5.1 CSK750DC AR</t>
  </si>
  <si>
    <t>5. Desarrollos e Inversiones</t>
  </si>
  <si>
    <t>Gabinete Magnum Tech MT-K835 con Fuente 500W</t>
  </si>
  <si>
    <t>6. Marketing Digital</t>
  </si>
  <si>
    <t xml:space="preserve">Teclado Satellite AK-910 - Negro </t>
  </si>
  <si>
    <t>7. Legales y Notaría</t>
  </si>
  <si>
    <t>Mouse Logitech M90 Black USB</t>
  </si>
  <si>
    <t>8. Fotografía y Recorridos Virtuales</t>
  </si>
  <si>
    <t>TOTAL POR COMPUTADORA</t>
  </si>
  <si>
    <t>9. Atención al Cliente</t>
  </si>
  <si>
    <t>CABLE UTP CAT.6 GLC EXTERIOR X 305MTS DOBLE VAINA</t>
  </si>
  <si>
    <t>10. Recursos Humanos</t>
  </si>
  <si>
    <t>Switch TP-LINK 24GIGA 4 SFP Administrable</t>
  </si>
  <si>
    <t>11. Contabilidad y Comisiones</t>
  </si>
  <si>
    <t>Plug Rj 45 Cat 5 Blind</t>
  </si>
  <si>
    <t>12. Sistemas e IT</t>
  </si>
  <si>
    <t>TOTAL RED</t>
  </si>
  <si>
    <t>13. Soporte a Agentes</t>
  </si>
  <si>
    <t>Grandstream GXP1615 Teléfono IP 2 líneas</t>
  </si>
  <si>
    <t>14. Relaciones Institucionales</t>
  </si>
  <si>
    <t>Impresora HP LaserJet M111w</t>
  </si>
  <si>
    <t>15. Auditoría de Propiedades</t>
  </si>
  <si>
    <t>Plotter de Corte Gadnic 88 Cm</t>
  </si>
  <si>
    <t>16. Capacitación Inmobiliaria</t>
  </si>
  <si>
    <t>Impresora 3d Creality Ender 3 V2 Con Placa Base Silenciosa</t>
  </si>
  <si>
    <t>17. Gestión de Franquicias</t>
  </si>
  <si>
    <t>CAMARA IP BULLET 2MP 2.8 MM H.265+ IP67</t>
  </si>
  <si>
    <t>18. Inteligencia de Mercado</t>
  </si>
  <si>
    <t xml:space="preserve">Servidor PowerEdge R710 2 xeon e5640 </t>
  </si>
  <si>
    <t>19. Mantenimiento de Propiedades</t>
  </si>
  <si>
    <t>ROUTER CISCO 2811</t>
  </si>
  <si>
    <t>20. Publicidad Exterior</t>
  </si>
  <si>
    <t>TOTAL POR TODAS LAS COMPUTADORAS</t>
  </si>
  <si>
    <t>TOTALES</t>
  </si>
  <si>
    <t>TOTAL POR LOS TELEFONOS IP</t>
  </si>
  <si>
    <t>TOTAL POR LAS IMPRESORAS de red</t>
  </si>
  <si>
    <t>TOTAL POR LAS IMPRESORAS 3D</t>
  </si>
  <si>
    <t>TOTAL POR LOS PLOTTERS</t>
  </si>
  <si>
    <t>TOTAL POR LAS CAMARAS IP</t>
  </si>
  <si>
    <t>TOTAL APROXIMADO POR LOS CABLES</t>
  </si>
  <si>
    <t>TOTAL APROXIMADO POR LOS SWITCHES</t>
  </si>
  <si>
    <t>TOTAL POR LOS ROUTERS</t>
  </si>
  <si>
    <t>TOTAL APROXIMADO POR LOS SERVIDORES</t>
  </si>
  <si>
    <t>TOTAL APROXIMADO POR CONECTORES RJ45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</si>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</sst>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2.0"/>
      <color theme="1"/>
      <name val="Nunito"/>
    </font>
    <font>
      <b/>
      <sz val="12.0"/>
      <color rgb="FF000000"/>
      <name val="Nunito"/>
    </font>
    <font>
      <b/>
      <sz val="12.0"/>
      <color theme="1"/>
      <name val="Nunito"/>
    </font>
    <font>
      <sz val="8.0"/>
      <color rgb="FF000000"/>
      <name val="Montserrat"/>
    </font>
    <font>
      <sz val="10.0"/>
      <color rgb="FF000000"/>
      <name val="Montserrat"/>
    </font>
    <font>
      <sz val="12.0"/>
      <color rgb="FF000000"/>
      <name val="Nunito"/>
    </font>
    <font>
      <sz val="8.0"/>
      <color rgb="FF000000"/>
      <name val="Nunito"/>
    </font>
    <font>
      <sz val="10.0"/>
      <color rgb="FF000000"/>
      <name val="Nunito"/>
    </font>
    <font>
      <b/>
      <sz val="16.0"/>
      <color rgb="FF000000"/>
      <name val="Nunito"/>
    </font>
    <font>
      <sz val="10.0"/>
      <color rgb="FF000000"/>
      <name val="&quot;Google Sans&quot;"/>
    </font>
    <font>
      <b/>
      <sz val="15.0"/>
      <color rgb="FF000000"/>
      <name val="Nunito"/>
    </font>
    <font>
      <sz val="18.0"/>
      <color rgb="FF111111"/>
      <name val="&quot;Open Sans&quot;"/>
    </font>
    <font>
      <sz val="23.0"/>
      <color rgb="FF111111"/>
      <name val="&quot;Open Sans&quot;"/>
    </font>
    <font>
      <sz val="17.0"/>
      <color rgb="FF000000"/>
      <name val="&quot;Proxima Nova&quot;"/>
    </font>
    <font>
      <sz val="21.0"/>
      <color rgb="FF000000"/>
      <name val="&quot;Proxima Nova&quot;"/>
    </font>
    <font>
      <b/>
      <sz val="21.0"/>
      <color rgb="FF333333"/>
      <name val="Lexend"/>
    </font>
    <font>
      <b/>
      <sz val="15.0"/>
      <color rgb="FF333333"/>
      <name val="Lexend"/>
    </font>
    <font>
      <b/>
      <sz val="15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4A7A"/>
      </left>
      <right style="thin">
        <color rgb="FF2A4A7A"/>
      </right>
      <top style="thin">
        <color rgb="FF2A4A7A"/>
      </top>
      <bottom style="thin">
        <color rgb="FF2A4A7A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left"/>
    </xf>
    <xf borderId="0" fillId="0" fontId="3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 shrinkToFit="0" vertical="center" wrapText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ill="1" applyFont="1">
      <alignment horizontal="left" readingOrder="0"/>
    </xf>
    <xf borderId="1" fillId="3" fontId="6" numFmtId="0" xfId="0" applyAlignment="1" applyBorder="1" applyFill="1" applyFont="1">
      <alignment horizontal="left" shrinkToFit="0" vertical="center" wrapText="0"/>
    </xf>
    <xf borderId="0" fillId="3" fontId="7" numFmtId="0" xfId="0" applyAlignment="1" applyFill="1" applyFont="1">
      <alignment horizontal="left" readingOrder="0"/>
    </xf>
    <xf borderId="0" fillId="3" fontId="8" numFmtId="0" xfId="0" applyAlignment="1" applyFill="1" applyFont="1">
      <alignment horizontal="left" readingOrder="0"/>
    </xf>
    <xf borderId="0" fillId="3" fontId="8" numFmtId="3" xfId="0" applyAlignment="1" applyFill="1" applyFont="1" applyNumberForma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3" fontId="4" numFmtId="0" xfId="0" applyAlignment="1" applyFill="1" applyFont="1">
      <alignment readingOrder="0" shrinkToFit="0" wrapText="0"/>
    </xf>
    <xf borderId="0" fillId="3" fontId="9" numFmtId="0" xfId="0" applyAlignment="1" applyFill="1" applyFont="1">
      <alignment horizontal="left" readingOrder="0"/>
    </xf>
    <xf borderId="0" fillId="3" fontId="6" numFmtId="0" xfId="0" applyAlignment="1" applyFill="1" applyFont="1">
      <alignment horizontal="left" readingOrder="0"/>
    </xf>
    <xf borderId="0" fillId="0" fontId="10" numFmtId="0" xfId="0" applyAlignment="1" applyFont="1">
      <alignment readingOrder="0" shrinkToFit="0" wrapText="0"/>
    </xf>
    <xf borderId="0" fillId="3" fontId="11" numFmtId="0" xfId="0" applyAlignment="1" applyFill="1" applyFont="1">
      <alignment horizontal="left" readingOrder="0"/>
    </xf>
    <xf borderId="0" fillId="3" fontId="6" numFmtId="0" xfId="0" applyAlignment="1" applyFill="1" applyFont="1">
      <alignment horizontal="left"/>
    </xf>
    <xf borderId="0" fillId="3" fontId="6" numFmtId="3" xfId="0" applyAlignment="1" applyFill="1" applyFont="1" applyNumberFormat="1">
      <alignment horizontal="left" readingOrder="0"/>
    </xf>
    <xf borderId="0" fillId="3" fontId="12" numFmtId="0" xfId="0" applyAlignment="1" applyFill="1" applyFont="1">
      <alignment readingOrder="0"/>
    </xf>
    <xf borderId="0" fillId="3" fontId="13" numFmtId="3" xfId="0" applyAlignment="1" applyFill="1" applyFont="1" applyNumberFormat="1">
      <alignment readingOrder="0"/>
    </xf>
    <xf borderId="0" fillId="3" fontId="14" numFmtId="0" xfId="0" applyAlignment="1" applyFill="1" applyFont="1">
      <alignment readingOrder="0"/>
    </xf>
    <xf borderId="0" fillId="3" fontId="15" numFmtId="3" xfId="0" applyAlignment="1" applyFill="1" applyFont="1" applyNumberFormat="1">
      <alignment readingOrder="0"/>
    </xf>
    <xf borderId="0" fillId="3" fontId="16" numFmtId="0" xfId="0" applyAlignment="1" applyFill="1" applyFont="1">
      <alignment readingOrder="0"/>
    </xf>
    <xf borderId="0" fillId="3" fontId="17" numFmtId="4" xfId="0" applyAlignment="1" applyFill="1" applyFont="1" applyNumberFormat="1">
      <alignment readingOrder="0"/>
    </xf>
    <xf borderId="0" fillId="3" fontId="6" numFmtId="4" xfId="0" applyAlignment="1" applyFill="1" applyFont="1" applyNumberFormat="1">
      <alignment horizontal="left" readingOrder="0"/>
    </xf>
    <xf borderId="0" fillId="0" fontId="18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Hoja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C4:I25" displayName="AC" name="AC" id="1">
  <tableColumns count="7">
    <tableColumn totalsRowLabel="TOTALES" name="Departamento" id="1"/>
    <tableColumn totalsRowFunction="custom" name="PCs" id="2"/>
    <tableColumn totalsRowFunction="custom" name="Teléfonos IP" id="3"/>
    <tableColumn totalsRowFunction="custom" name="Impresoras red" id="4"/>
    <tableColumn totalsRowFunction="custom" name="Plotters" id="5"/>
    <tableColumn totalsRowFunction="custom" name="Impresoras 3D" id="6"/>
    <tableColumn totalsRowFunction="custom" name="Cámaras IP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3.75"/>
    <col customWidth="1" min="2" max="2" width="32.5"/>
    <col customWidth="1" min="3" max="3" width="33.75"/>
    <col customWidth="1" min="4" max="4" width="12.63"/>
    <col customWidth="1" min="5" max="5" width="17.0"/>
    <col customWidth="1" min="6" max="6" width="19.38"/>
    <col customWidth="1" min="7" max="7" width="12.88"/>
    <col customWidth="1" min="8" max="8" width="19.13"/>
    <col customWidth="1" min="9" max="9" width="16.0"/>
  </cols>
  <sheetData>
    <row r="1" ht="15.75" customHeight="1"/>
    <row r="2" ht="34.5" customHeight="1">
      <c r="A2" s="1"/>
      <c r="B2" s="1"/>
      <c r="C2" s="1" t="s">
        <v>0</v>
      </c>
      <c r="J2" s="1"/>
    </row>
    <row r="3" ht="15.75" customHeight="1">
      <c r="A3" s="2"/>
      <c r="B3" s="2"/>
      <c r="C3" s="3"/>
      <c r="D3" s="3"/>
      <c r="E3" s="3"/>
      <c r="F3" s="3"/>
      <c r="G3" s="3"/>
      <c r="H3" s="3"/>
      <c r="I3" s="3"/>
    </row>
    <row r="4" ht="15.75" customHeight="1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ht="15.75" customHeight="1">
      <c r="A5" s="6" t="s">
        <v>10</v>
      </c>
      <c r="B5" s="7">
        <v>109100.0</v>
      </c>
      <c r="C5" s="8" t="s">
        <v>11</v>
      </c>
      <c r="D5" s="8">
        <v>17.0</v>
      </c>
      <c r="E5" s="8">
        <v>17.0</v>
      </c>
      <c r="F5" s="8">
        <v>2.0</v>
      </c>
      <c r="G5" s="8">
        <v>0.0</v>
      </c>
      <c r="H5" s="8">
        <v>0.0</v>
      </c>
      <c r="I5" s="8">
        <v>3.0</v>
      </c>
    </row>
    <row r="6" ht="15.75" customHeight="1">
      <c r="A6" s="9" t="s">
        <v>12</v>
      </c>
      <c r="B6" s="10">
        <v>78964.0</v>
      </c>
      <c r="C6" s="8" t="s">
        <v>13</v>
      </c>
      <c r="D6" s="8">
        <v>116.0</v>
      </c>
      <c r="E6" s="8">
        <v>116.0</v>
      </c>
      <c r="F6" s="8">
        <v>1.0</v>
      </c>
      <c r="G6" s="8">
        <v>0.0</v>
      </c>
      <c r="H6" s="8">
        <v>0.0</v>
      </c>
      <c r="I6" s="8">
        <v>3.0</v>
      </c>
    </row>
    <row r="7" ht="15.75" customHeight="1">
      <c r="A7" s="9" t="s">
        <v>14</v>
      </c>
      <c r="B7" s="11">
        <v>103317.0</v>
      </c>
      <c r="C7" s="8" t="s">
        <v>15</v>
      </c>
      <c r="D7" s="8">
        <v>12.0</v>
      </c>
      <c r="E7" s="8">
        <v>12.0</v>
      </c>
      <c r="F7" s="8">
        <v>1.0</v>
      </c>
      <c r="G7" s="8">
        <v>2.0</v>
      </c>
      <c r="H7" s="8">
        <v>1.0</v>
      </c>
      <c r="I7" s="8">
        <v>3.0</v>
      </c>
    </row>
    <row r="8" ht="15.75" customHeight="1">
      <c r="A8" s="12" t="s">
        <v>16</v>
      </c>
      <c r="B8" s="10">
        <v>115639.0</v>
      </c>
      <c r="C8" s="8" t="s">
        <v>17</v>
      </c>
      <c r="D8" s="8">
        <v>99.0</v>
      </c>
      <c r="E8" s="8">
        <v>99.0</v>
      </c>
      <c r="F8" s="8">
        <v>2.0</v>
      </c>
      <c r="G8" s="8">
        <v>0.0</v>
      </c>
      <c r="H8" s="8">
        <v>0.0</v>
      </c>
      <c r="I8" s="8">
        <v>3.0</v>
      </c>
    </row>
    <row r="9" ht="15.75" customHeight="1">
      <c r="A9" s="12" t="s">
        <v>18</v>
      </c>
      <c r="B9" s="10">
        <v>71370.0</v>
      </c>
      <c r="C9" s="8" t="s">
        <v>19</v>
      </c>
      <c r="D9" s="8">
        <v>43.0</v>
      </c>
      <c r="E9" s="8">
        <v>43.0</v>
      </c>
      <c r="F9" s="8">
        <v>1.0</v>
      </c>
      <c r="G9" s="8">
        <v>0.0</v>
      </c>
      <c r="H9" s="8">
        <v>0.0</v>
      </c>
      <c r="I9" s="8">
        <v>3.0</v>
      </c>
    </row>
    <row r="10" ht="15.75" customHeight="1">
      <c r="A10" s="6" t="s">
        <v>20</v>
      </c>
      <c r="B10" s="10">
        <v>31950.0</v>
      </c>
      <c r="C10" s="8" t="s">
        <v>21</v>
      </c>
      <c r="D10" s="8">
        <v>102.0</v>
      </c>
      <c r="E10" s="8">
        <v>102.0</v>
      </c>
      <c r="F10" s="8">
        <v>1.0</v>
      </c>
      <c r="G10" s="8">
        <v>0.0</v>
      </c>
      <c r="H10" s="8">
        <v>1.0</v>
      </c>
      <c r="I10" s="8">
        <v>3.0</v>
      </c>
    </row>
    <row r="11" ht="15.75" customHeight="1">
      <c r="A11" s="9" t="s">
        <v>22</v>
      </c>
      <c r="B11" s="10">
        <v>7200.0</v>
      </c>
      <c r="C11" s="8" t="s">
        <v>23</v>
      </c>
      <c r="D11" s="8">
        <v>71.0</v>
      </c>
      <c r="E11" s="8">
        <v>71.0</v>
      </c>
      <c r="F11" s="8">
        <v>2.0</v>
      </c>
      <c r="G11" s="8">
        <v>0.0</v>
      </c>
      <c r="H11" s="8">
        <v>1.0</v>
      </c>
      <c r="I11" s="8">
        <v>3.0</v>
      </c>
    </row>
    <row r="12" ht="15.75" customHeight="1">
      <c r="A12" s="13" t="s">
        <v>24</v>
      </c>
      <c r="B12" s="10">
        <v>5750.0</v>
      </c>
      <c r="C12" s="8" t="s">
        <v>25</v>
      </c>
      <c r="D12" s="8">
        <v>100.0</v>
      </c>
      <c r="E12" s="8">
        <v>100.0</v>
      </c>
      <c r="F12" s="8">
        <v>1.0</v>
      </c>
      <c r="G12" s="8">
        <v>0.0</v>
      </c>
      <c r="H12" s="8">
        <v>0.0</v>
      </c>
      <c r="I12" s="8">
        <v>3.0</v>
      </c>
    </row>
    <row r="13" ht="15.75" customHeight="1">
      <c r="A13" s="14" t="s">
        <v>26</v>
      </c>
      <c r="B13" s="15">
        <f>SUM(B5,B6,B7,B8,B9,B10,B11,B12)</f>
        <v>523290</v>
      </c>
      <c r="C13" s="8" t="s">
        <v>27</v>
      </c>
      <c r="D13" s="8">
        <v>111.0</v>
      </c>
      <c r="E13" s="8">
        <v>111.0</v>
      </c>
      <c r="F13" s="8">
        <v>1.0</v>
      </c>
      <c r="G13" s="8">
        <v>0.0</v>
      </c>
      <c r="H13" s="8">
        <v>0.0</v>
      </c>
      <c r="I13" s="8">
        <v>3.0</v>
      </c>
    </row>
    <row r="14" ht="15.75" customHeight="1">
      <c r="A14" s="16" t="s">
        <v>28</v>
      </c>
      <c r="B14" s="10">
        <v>211994.0</v>
      </c>
      <c r="C14" s="8" t="s">
        <v>29</v>
      </c>
      <c r="D14" s="8">
        <v>44.0</v>
      </c>
      <c r="E14" s="8">
        <v>44.0</v>
      </c>
      <c r="F14" s="8">
        <v>1.0</v>
      </c>
      <c r="G14" s="8">
        <v>0.0</v>
      </c>
      <c r="H14" s="8">
        <v>1.0</v>
      </c>
      <c r="I14" s="8">
        <v>3.0</v>
      </c>
    </row>
    <row r="15" ht="15.75" customHeight="1">
      <c r="A15" s="16" t="s">
        <v>30</v>
      </c>
      <c r="B15" s="11">
        <v>326823.0</v>
      </c>
      <c r="C15" s="8" t="s">
        <v>31</v>
      </c>
      <c r="D15" s="8">
        <v>48.0</v>
      </c>
      <c r="E15" s="8">
        <v>48.0</v>
      </c>
      <c r="F15" s="8">
        <v>1.0</v>
      </c>
      <c r="G15" s="8">
        <v>0.0</v>
      </c>
      <c r="H15" s="8">
        <v>0.0</v>
      </c>
      <c r="I15" s="8">
        <v>3.0</v>
      </c>
    </row>
    <row r="16" ht="15.75" customHeight="1">
      <c r="A16" s="10" t="s">
        <v>32</v>
      </c>
      <c r="B16" s="10">
        <v>20000.0</v>
      </c>
      <c r="C16" s="8" t="s">
        <v>33</v>
      </c>
      <c r="D16" s="8">
        <v>106.0</v>
      </c>
      <c r="E16" s="8">
        <v>106.0</v>
      </c>
      <c r="F16" s="8">
        <v>1.0</v>
      </c>
      <c r="G16" s="8">
        <v>0.0</v>
      </c>
      <c r="H16" s="8">
        <v>0.0</v>
      </c>
      <c r="I16" s="8">
        <v>3.0</v>
      </c>
    </row>
    <row r="17" ht="15.75" customHeight="1">
      <c r="A17" s="17" t="s">
        <v>34</v>
      </c>
      <c r="B17" s="18">
        <f>SUM(B14,B15,B16)</f>
        <v>558817</v>
      </c>
      <c r="C17" s="8" t="s">
        <v>35</v>
      </c>
      <c r="D17" s="8">
        <v>30.0</v>
      </c>
      <c r="E17" s="8">
        <v>30.0</v>
      </c>
      <c r="F17" s="8">
        <v>1.0</v>
      </c>
      <c r="G17" s="8">
        <v>0.0</v>
      </c>
      <c r="H17" s="8">
        <v>0.0</v>
      </c>
      <c r="I17" s="8">
        <v>3.0</v>
      </c>
    </row>
    <row r="18" ht="15.75" customHeight="1">
      <c r="A18" s="15" t="s">
        <v>36</v>
      </c>
      <c r="B18" s="19">
        <v>60000.0</v>
      </c>
      <c r="C18" s="8" t="s">
        <v>37</v>
      </c>
      <c r="D18" s="8">
        <v>46.0</v>
      </c>
      <c r="E18" s="8">
        <v>46.0</v>
      </c>
      <c r="F18" s="8">
        <v>1.0</v>
      </c>
      <c r="G18" s="8">
        <v>0.0</v>
      </c>
      <c r="H18" s="8">
        <v>1.0</v>
      </c>
      <c r="I18" s="8">
        <v>3.0</v>
      </c>
    </row>
    <row r="19" ht="15.75" customHeight="1">
      <c r="A19" s="20" t="s">
        <v>38</v>
      </c>
      <c r="B19" s="21">
        <v>290949.0</v>
      </c>
      <c r="C19" s="8" t="s">
        <v>39</v>
      </c>
      <c r="D19" s="8">
        <v>49.0</v>
      </c>
      <c r="E19" s="8">
        <v>49.0</v>
      </c>
      <c r="F19" s="8">
        <v>1.0</v>
      </c>
      <c r="G19" s="8">
        <v>0.0</v>
      </c>
      <c r="H19" s="8">
        <v>2.0</v>
      </c>
      <c r="I19" s="8">
        <v>3.0</v>
      </c>
    </row>
    <row r="20" ht="15.75" customHeight="1">
      <c r="A20" s="15" t="s">
        <v>40</v>
      </c>
      <c r="B20" s="19">
        <v>776984.0</v>
      </c>
      <c r="C20" s="8" t="s">
        <v>41</v>
      </c>
      <c r="D20" s="8">
        <v>58.0</v>
      </c>
      <c r="E20" s="8">
        <v>58.0</v>
      </c>
      <c r="F20" s="8">
        <v>2.0</v>
      </c>
      <c r="G20" s="8">
        <v>0.0</v>
      </c>
      <c r="H20" s="8">
        <v>0.0</v>
      </c>
      <c r="I20" s="8">
        <v>3.0</v>
      </c>
    </row>
    <row r="21" ht="15.75" customHeight="1">
      <c r="A21" s="22" t="s">
        <v>42</v>
      </c>
      <c r="B21" s="23">
        <v>459000.0</v>
      </c>
      <c r="C21" s="8" t="s">
        <v>43</v>
      </c>
      <c r="D21" s="8">
        <v>17.0</v>
      </c>
      <c r="E21" s="8">
        <v>17.0</v>
      </c>
      <c r="F21" s="8">
        <v>1.0</v>
      </c>
      <c r="G21" s="8">
        <v>0.0</v>
      </c>
      <c r="H21" s="8">
        <v>0.0</v>
      </c>
      <c r="I21" s="8">
        <v>3.0</v>
      </c>
    </row>
    <row r="22" ht="15.75" customHeight="1">
      <c r="A22" s="24" t="s">
        <v>44</v>
      </c>
      <c r="B22" s="25">
        <v>67185.3</v>
      </c>
      <c r="C22" s="8" t="s">
        <v>45</v>
      </c>
      <c r="D22" s="8">
        <v>56.0</v>
      </c>
      <c r="E22" s="8">
        <v>56.0</v>
      </c>
      <c r="F22" s="8">
        <v>1.0</v>
      </c>
      <c r="G22" s="8">
        <v>0.0</v>
      </c>
      <c r="H22" s="8">
        <v>0.0</v>
      </c>
      <c r="I22" s="8">
        <v>3.0</v>
      </c>
    </row>
    <row r="23" ht="15.75" customHeight="1">
      <c r="A23" s="15" t="s">
        <v>46</v>
      </c>
      <c r="B23" s="26">
        <v>606448.08</v>
      </c>
      <c r="C23" s="8" t="s">
        <v>47</v>
      </c>
      <c r="D23" s="8">
        <v>44.0</v>
      </c>
      <c r="E23" s="8">
        <v>44.0</v>
      </c>
      <c r="F23" s="8">
        <v>2.0</v>
      </c>
      <c r="G23" s="8">
        <v>0.0</v>
      </c>
      <c r="H23" s="8">
        <v>0.0</v>
      </c>
      <c r="I23" s="8">
        <v>3.0</v>
      </c>
    </row>
    <row r="24" ht="15.75" customHeight="1">
      <c r="A24" s="15" t="s">
        <v>48</v>
      </c>
      <c r="B24" s="26">
        <v>226912.5</v>
      </c>
      <c r="C24" s="8" t="s">
        <v>49</v>
      </c>
      <c r="D24" s="8">
        <v>31.0</v>
      </c>
      <c r="E24" s="8">
        <v>31.0</v>
      </c>
      <c r="F24" s="8">
        <v>1.0</v>
      </c>
      <c r="G24" s="8">
        <v>0.0</v>
      </c>
      <c r="H24" s="8">
        <v>0.0</v>
      </c>
      <c r="I24" s="8">
        <v>3.0</v>
      </c>
    </row>
    <row r="25" ht="15.75" customHeight="1">
      <c r="A25" s="27" t="s">
        <v>50</v>
      </c>
      <c r="B25" s="28">
        <f>MULTIPLY(B13,D25)</f>
        <v>627948000</v>
      </c>
      <c r="C25" s="29" t="s">
        <v>51</v>
      </c>
      <c r="D25" s="30">
        <f>SUM(AC[PCs])</f>
        <v>1200</v>
      </c>
      <c r="E25" s="30">
        <f>SUM(AC[Teléfonos IP])</f>
        <v>1200</v>
      </c>
      <c r="F25" s="30">
        <f>SUM(AC[Impresoras red])</f>
        <v>25</v>
      </c>
      <c r="G25" s="30">
        <f>SUM(AC[Plotters])</f>
        <v>2</v>
      </c>
      <c r="H25" s="30">
        <f>SUM(AC[Impresoras 3D])</f>
        <v>7</v>
      </c>
      <c r="I25" s="30">
        <f>SUM(AC[Cámaras IP])</f>
        <v>60</v>
      </c>
    </row>
    <row r="26" ht="15.75" customHeight="1">
      <c r="A26" s="31" t="s">
        <v>52</v>
      </c>
      <c r="B26" s="28">
        <f>MULTIPLY(B18,E25)</f>
        <v>72000000</v>
      </c>
    </row>
    <row r="27" ht="15.75" customHeight="1">
      <c r="A27" s="31" t="s">
        <v>53</v>
      </c>
      <c r="B27" s="28">
        <f>MULTIPLY(B19,AC[[#TOTALS],[Impresoras red]])</f>
        <v>7273725</v>
      </c>
    </row>
    <row r="28" ht="15.75" customHeight="1">
      <c r="A28" s="31" t="s">
        <v>54</v>
      </c>
      <c r="B28" s="31">
        <f>MULTIPLY(459000,7)</f>
        <v>3213000</v>
      </c>
    </row>
    <row r="29" ht="15.75" customHeight="1">
      <c r="A29" s="31" t="s">
        <v>55</v>
      </c>
      <c r="B29" s="28">
        <f>MULTIPLY(B20,2)</f>
        <v>1553968</v>
      </c>
    </row>
    <row r="30" ht="15.75" customHeight="1">
      <c r="A30" s="31" t="s">
        <v>56</v>
      </c>
      <c r="B30" s="28">
        <f>MULTIPLY(B22,AC[[#TOTALS],[Cámaras IP]])</f>
        <v>4031118</v>
      </c>
    </row>
    <row r="31" ht="15.75" customHeight="1">
      <c r="A31" s="31" t="s">
        <v>57</v>
      </c>
      <c r="B31" s="28">
        <f>MULTIPLY(B14,500)</f>
        <v>105997000</v>
      </c>
    </row>
    <row r="32" ht="15.75" customHeight="1">
      <c r="A32" s="31" t="s">
        <v>58</v>
      </c>
      <c r="B32" s="28">
        <f>MULTIPLY(B15,140)</f>
        <v>45755220</v>
      </c>
    </row>
    <row r="33" ht="15.75" customHeight="1">
      <c r="A33" s="31" t="s">
        <v>59</v>
      </c>
      <c r="B33" s="28">
        <f>MULTIPLY(B24,20)</f>
        <v>4538250</v>
      </c>
    </row>
    <row r="34" ht="15.75" customHeight="1">
      <c r="A34" s="31" t="s">
        <v>60</v>
      </c>
      <c r="B34" s="28">
        <f>MULTIPLY(B23,40)</f>
        <v>24257923.2</v>
      </c>
    </row>
    <row r="35" ht="15.75" customHeight="1">
      <c r="A35" s="31" t="s">
        <v>58</v>
      </c>
      <c r="B35" s="31">
        <f>MULTIPLY(B15,120)</f>
        <v>39218760</v>
      </c>
    </row>
    <row r="36" ht="15.75" customHeight="1">
      <c r="A36" s="31" t="s">
        <v>61</v>
      </c>
      <c r="B36" s="28">
        <f>MULTIPLY(B16,SUM(AC[[#TOTALS],[PCs]:[Cámaras IP]]))</f>
        <v>49880000</v>
      </c>
    </row>
    <row r="37" ht="15.75" customHeight="1"/>
    <row r="38" ht="15.75" customHeight="1"/>
    <row r="39" ht="15.75" customHeight="1"/>
    <row r="40" ht="15.75" customHeight="1">
      <c r="A40" s="31" t="s">
        <v>62</v>
      </c>
      <c r="B40" s="28">
        <f>SUM(B25:B36)</f>
        <v>985666964.2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</sheetData>
  <mergeCells count="2">
    <mergeCell ref="C2:I2"/>
    <mergeCell ref="J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